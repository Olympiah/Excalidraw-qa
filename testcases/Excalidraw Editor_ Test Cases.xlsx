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s" sheetId="1" r:id="rId5"/>
    <sheet state="visible" name="Summary" sheetId="2" r:id="rId6"/>
  </sheets>
  <definedNames>
    <definedName hidden="1" localSheetId="0" name="_xlnm._FilterDatabase">'Test Cases'!$A$4:$N$26</definedName>
  </definedNames>
  <calcPr/>
</workbook>
</file>

<file path=xl/sharedStrings.xml><?xml version="1.0" encoding="utf-8"?>
<sst xmlns="http://schemas.openxmlformats.org/spreadsheetml/2006/main" count="356" uniqueCount="207">
  <si>
    <t>Summary</t>
  </si>
  <si>
    <t xml:space="preserve">Excalidraw Editor: Test </t>
  </si>
  <si>
    <t>All counts are formulas over the Test Cases sheet. Update Status there as you execute tests.</t>
  </si>
  <si>
    <t>Section</t>
  </si>
  <si>
    <t>22 test cases across 8 sections, grouped by section. Project: Excalidraw Editor (Web) | Created by: Olympiah | Expected results are inferred from docs and behaviour; items marked (verify) are confirmed in exploratory sessions.</t>
  </si>
  <si>
    <t>Total</t>
  </si>
  <si>
    <t>Not Run</t>
  </si>
  <si>
    <t>Pass</t>
  </si>
  <si>
    <t>Fail</t>
  </si>
  <si>
    <t>Blocked</t>
  </si>
  <si>
    <t>Skipped</t>
  </si>
  <si>
    <t>% Executed</t>
  </si>
  <si>
    <t>Test ID</t>
  </si>
  <si>
    <t>Drawing tools</t>
  </si>
  <si>
    <t>Feature / Functionality</t>
  </si>
  <si>
    <t>Test Title</t>
  </si>
  <si>
    <t>Type</t>
  </si>
  <si>
    <t>Prerequisite</t>
  </si>
  <si>
    <t>Test Data</t>
  </si>
  <si>
    <t>Test Steps</t>
  </si>
  <si>
    <t>Expected Result</t>
  </si>
  <si>
    <t>Priority</t>
  </si>
  <si>
    <t>Status</t>
  </si>
  <si>
    <t>Notes</t>
  </si>
  <si>
    <t>Risk Map Ref</t>
  </si>
  <si>
    <t>Automation</t>
  </si>
  <si>
    <t>EX-001</t>
  </si>
  <si>
    <t>Rectangle tool</t>
  </si>
  <si>
    <t>Draw a rectangle with the toolbar</t>
  </si>
  <si>
    <t>Functional</t>
  </si>
  <si>
    <t>1. Excalidraw loaded in Chromium.
2. Blank canvas (storage cleared).</t>
  </si>
  <si>
    <t>N/A</t>
  </si>
  <si>
    <t>1. Click the Rectangle tool in the toolbar.
2. Press and hold the mouse at (300,300).
3. Drag to (500,420) and release.</t>
  </si>
  <si>
    <t>One rectangle element is created, roughly 200x120, and is selected. The active tool returns to Selection (default behaviour, verify).</t>
  </si>
  <si>
    <t>P1</t>
  </si>
  <si>
    <t>User can draw a rectangle by selecting the tool and dragging on the canvas.</t>
  </si>
  <si>
    <t>R4 Transforms</t>
  </si>
  <si>
    <t>Automate</t>
  </si>
  <si>
    <t>EX-002</t>
  </si>
  <si>
    <t>Shape shortcuts</t>
  </si>
  <si>
    <t>Draw each core shape with keyboard shortcuts</t>
  </si>
  <si>
    <t>Shortcuts: R, D, O, A, L, T</t>
  </si>
  <si>
    <t>1. Press R, then drag on canvas.
2. Press D, then drag on canvas.
3. Press O, then drag on canvas.
4. Press A, then drag on canvas.
5. Press L, then drag on canvas.</t>
  </si>
  <si>
    <t>Five elements are created with types rectangle, diamond, ellipse, arrow, line in that order.</t>
  </si>
  <si>
    <t>Shape tools can be activated by shortcut and produce the correct element type.</t>
  </si>
  <si>
    <t>R8 Shortcuts</t>
  </si>
  <si>
    <t>EX-003</t>
  </si>
  <si>
    <t>Text tool</t>
  </si>
  <si>
    <t>Create text on the canvas</t>
  </si>
  <si>
    <t>Text: Hello QA</t>
  </si>
  <si>
    <t>1. Press T.
2. Click on canvas at (300,300).
3. Type 'Hello QA'.
4. Press Escape.</t>
  </si>
  <si>
    <t>A text element containing 'Hello QA' exists. It is not lost when edit mode ends.</t>
  </si>
  <si>
    <t>P2</t>
  </si>
  <si>
    <t>User can add text with the Text tool and it is kept after leaving edit mode.</t>
  </si>
  <si>
    <t>R7 Text/binding</t>
  </si>
  <si>
    <t>EX-004</t>
  </si>
  <si>
    <t>Drag creation</t>
  </si>
  <si>
    <t>Tiny drag does not create a broken shape (edge case)</t>
  </si>
  <si>
    <t>Negative</t>
  </si>
  <si>
    <t>Drag distance: 1-2 px</t>
  </si>
  <si>
    <t>1. Press R.
2. Press mouse at (300,300).
3. Move 1 px and release.</t>
  </si>
  <si>
    <t>Either no element is created or a valid element is created. No invalid/zero-size element remains in the saved scene (expected behaviour to verify).</t>
  </si>
  <si>
    <t>A near-zero drag should not leave a corrupted or invisible element. Tiny drag (1-2px) → a small valid element was created (that little square/dot near 786,701) ✅ one of the accepted outcomes
Click with no drag → nothing was created ✅ also fine, and consistent behavior</t>
  </si>
  <si>
    <t>Manual</t>
  </si>
  <si>
    <t>Selection and grouping</t>
  </si>
  <si>
    <t>EX-005</t>
  </si>
  <si>
    <t>Multi-select</t>
  </si>
  <si>
    <t>Multi-select with Shift+click</t>
  </si>
  <si>
    <t>1. Excalidraw loaded.
2. Three shapes drawn on canvas.</t>
  </si>
  <si>
    <t>Fixture scene: 3 rectangles</t>
  </si>
  <si>
    <t>1. Click the first rectangle.
2. Hold Shift and click the second rectangle.
3. Hold Shift and click the third rectangle.</t>
  </si>
  <si>
    <t>All three rectangles are selected and a single selection bounding box surrounds them.</t>
  </si>
  <si>
    <t>User can select several elements with Shift held.</t>
  </si>
  <si>
    <t>R3 Selection</t>
  </si>
  <si>
    <t>EX-006</t>
  </si>
  <si>
    <t>Grouping</t>
  </si>
  <si>
    <t>Group and ungroup elements</t>
  </si>
  <si>
    <t>1. Excalidraw loaded.
2. Two shapes selected.</t>
  </si>
  <si>
    <t>Fixture scene: 2 rectangles</t>
  </si>
  <si>
    <t>1. Draw two shapes on the canvas (e.g., two rectangles).
2. Click the first shape, then hold Shift and click the second shape so both are selected.
3. Press Ctrl+G to group them.
4. Click on empty canvas to deselect, then click on either one of the shapes.
5. Press Ctrl+Shift+G to ungroup.
6. Click on empty canvas to deselect, then click on one shape only.</t>
  </si>
  <si>
    <t>After grouping, clicking either shape selects the whole group. After ungrouping, clicking selects only the clicked shape. Element positions do not change.</t>
  </si>
  <si>
    <t>Grouping keeps elements together and ungrouping restores independence.</t>
  </si>
  <si>
    <t>EX-007</t>
  </si>
  <si>
    <t>Selection clear</t>
  </si>
  <si>
    <t>Click empty canvas clears selection</t>
  </si>
  <si>
    <t>1. Excalidraw loaded.
2. One shape selected.</t>
  </si>
  <si>
    <t>Fixture scene: 1 rectangle</t>
  </si>
  <si>
    <t>1. Click on an empty area of the canvas.</t>
  </si>
  <si>
    <t>No element remains selected and the properties panel is hidden.</t>
  </si>
  <si>
    <t>Selection is cleared when the user clicks empty space.</t>
  </si>
  <si>
    <t>Transform: move, resize, rotate</t>
  </si>
  <si>
    <t>EX-008</t>
  </si>
  <si>
    <t>Move</t>
  </si>
  <si>
    <t>Move an element by dragging</t>
  </si>
  <si>
    <t>1. Excalidraw loaded.
2. One rectangle drawn.</t>
  </si>
  <si>
    <t>Fixture scene: 1 rectangle at (300,300)</t>
  </si>
  <si>
    <t>1. Press and hold on the rectangle border or fill.
2. Drag +150 px in x and +100 px in y.
3. Release.</t>
  </si>
  <si>
    <t>Element x/y in the scene increase by about 150 and 100. Width and height are unchanged.</t>
  </si>
  <si>
    <t>Dragging a selected element moves it by the drag distance.</t>
  </si>
  <si>
    <t>EX-009</t>
  </si>
  <si>
    <t>Resize</t>
  </si>
  <si>
    <t>Resize an element with a corner handle</t>
  </si>
  <si>
    <t>1. Excalidraw loaded.
2. One rectangle selected.</t>
  </si>
  <si>
    <t>Fixture scene: 1 rectangle 200x120</t>
  </si>
  <si>
    <t>1. Drag the bottom-right handle by +100 px, +60 px.</t>
  </si>
  <si>
    <t>Width and height increase by about 100 and 60. The top-left corner does not move.</t>
  </si>
  <si>
    <t>Dragging a corner handle changes size without moving the opposite corner.</t>
  </si>
  <si>
    <t>EX-010</t>
  </si>
  <si>
    <t>Rotate</t>
  </si>
  <si>
    <t>Rotate an element with the rotation handle</t>
  </si>
  <si>
    <t>UI</t>
  </si>
  <si>
    <t>1. Drag the rotation handle(circle) to rotate the rectangle roughly 90 degrees clockwise.</t>
  </si>
  <si>
    <t>Element angle in the scene is about 1.57 rad (90 degrees). Position and size are unchanged.</t>
  </si>
  <si>
    <t>Rotation handle changes the element angle.</t>
  </si>
  <si>
    <t>Undo / redo</t>
  </si>
  <si>
    <t>EX-011</t>
  </si>
  <si>
    <t>Undo/redo basic</t>
  </si>
  <si>
    <t>Undo and redo a single drawing action</t>
  </si>
  <si>
    <t>1. Draw a rectangle.
2. Press Ctrl+Z.
3. Press Ctrl+Shift+Z.</t>
  </si>
  <si>
    <t>After undo the canvas is empty. After redo the rectangle is back with the same position and size.</t>
  </si>
  <si>
    <t>Undo removes the last drawn shape and redo restores it.</t>
  </si>
  <si>
    <t>R2 Undo/redo</t>
  </si>
  <si>
    <t>EX-012</t>
  </si>
  <si>
    <t>Undo/redo sequence</t>
  </si>
  <si>
    <t>Undo a sequence of mixed edits</t>
  </si>
  <si>
    <t>1. Draw a rectangle.
2. Move it by dragging.
3. Resize it with a handle.
4. Press Ctrl+Z three times.
5. Press Ctrl+Shift+Z three times.</t>
  </si>
  <si>
    <t>Each Ctrl+Z reverts exactly one edit in reverse order, ending on an empty canvas. Each redo re-applies one edit, ending in the original final state.</t>
  </si>
  <si>
    <t>Undo steps back through draw, move, resize in reverse order.</t>
  </si>
  <si>
    <t>EX-013</t>
  </si>
  <si>
    <t>Undo/redo grouping</t>
  </si>
  <si>
    <t>Undo after grouping (edge case)</t>
  </si>
  <si>
    <t>1. Excalidraw loaded.
2. Two shapes drawn.</t>
  </si>
  <si>
    <t>1. Select both shapes.
2. Press Ctrl+G.
3. Press Ctrl+Z.
4. Click one shape.</t>
  </si>
  <si>
    <t>Shapes are separate again, only the clicked shape is selected, and positions are unchanged.</t>
  </si>
  <si>
    <t>Undoing a group operation restores separate elements without moving them.</t>
  </si>
  <si>
    <t>EX-014</t>
  </si>
  <si>
    <t>Redo stack</t>
  </si>
  <si>
    <t>New action after undo clears the redo stack</t>
  </si>
  <si>
    <t>1. Draw rectangle A.
2. Press Ctrl+Z.
3. Draw rectangle B.
4. Press Ctrl+Shift+Z.</t>
  </si>
  <si>
    <t>Only rectangle B exists. Redo has no effect and rectangle A does not reappear.</t>
  </si>
  <si>
    <t>After undo then a new edit, redo must not re-apply the older change.</t>
  </si>
  <si>
    <t>Autosave and reload persistence</t>
  </si>
  <si>
    <t>EX-015</t>
  </si>
  <si>
    <t>Autosave reload</t>
  </si>
  <si>
    <t>Scene is restored after page reload</t>
  </si>
  <si>
    <t>1. Excalidraw loaded.
2. Storage cleared.</t>
  </si>
  <si>
    <t>Fixture scene: 2 shapes + 1 text</t>
  </si>
  <si>
    <t>1. Draw two shapes and add one text element.
2. Wait for autosave (verify interval).
3. Reload the page (F5).</t>
  </si>
  <si>
    <t>All three elements are present after reload with the same positions and content. Scene is present in localStorage key 'excalidraw'.</t>
  </si>
  <si>
    <t>Edits are auto-saved and restored after refresh.</t>
  </si>
  <si>
    <t>R1 Autosave</t>
  </si>
  <si>
    <t>EX-016</t>
  </si>
  <si>
    <t>Autosave timing</t>
  </si>
  <si>
    <t>Very recent edit before reload (edge case)</t>
  </si>
  <si>
    <t>1. Draw a rectangle.
2. Immediately reload the page (within 1 second).</t>
  </si>
  <si>
    <t>The rectangle is kept after an immediate reload (within 1 second). No data loss observed — Excalidraw's autosave/local persistence saves the shape fast enough that a near-instant reload does not lose it.</t>
  </si>
  <si>
    <t>No loss window identified in this test. If tighter timing is needed to find an actual loss window (e.g., reload at 0ms, 100ms, 500ms)</t>
  </si>
  <si>
    <t>Export / import</t>
  </si>
  <si>
    <t>EX-017</t>
  </si>
  <si>
    <t>Save/open file</t>
  </si>
  <si>
    <t>Export and re-import an .excalidraw file</t>
  </si>
  <si>
    <t>1. Excalidraw loaded.
2. Scene with 3 shapes drawn.</t>
  </si>
  <si>
    <t>Fixture scene: 3 shapes, 1 text</t>
  </si>
  <si>
    <t>1. Save the scene to file (Ctrl+S / menu).
2. Clear the canvas.
3. Open the saved file (Ctrl+O / menu).</t>
  </si>
  <si>
    <t>All original elements are restored with the same type, position, size, text, and grouping.</t>
  </si>
  <si>
    <t>Saved scene file can be re-imported with identical content.</t>
  </si>
  <si>
    <t>R5 Export/import</t>
  </si>
  <si>
    <t>EX-018</t>
  </si>
  <si>
    <t>PNG export</t>
  </si>
  <si>
    <t>Export scene as PNG</t>
  </si>
  <si>
    <t>1. Excalidraw loaded.
2. Scene with shapes drawn.</t>
  </si>
  <si>
    <t>Fixture scene: 3 shapes</t>
  </si>
  <si>
    <t>1. Open the export image dialog (Ctrl+Shift+E / menu).
2. Choose PNG with defaults.
3. Click export/download.</t>
  </si>
  <si>
    <t>A PNG file downloads. It is non-empty and its dimensions and content match the drawn scene (visual check).</t>
  </si>
  <si>
    <t>PNG export downloads a non-empty image reflecting the canvas.</t>
  </si>
  <si>
    <t>Automate + visual</t>
  </si>
  <si>
    <t>Copy, paste, duplicate</t>
  </si>
  <si>
    <t>EX-019</t>
  </si>
  <si>
    <t>Duplicate</t>
  </si>
  <si>
    <t>Duplicate a selected element</t>
  </si>
  <si>
    <t>1. Press Ctrl+D.</t>
  </si>
  <si>
    <t>A second identical rectangle exists, offset from the original, and is now the selected element.</t>
  </si>
  <si>
    <t>Ctrl+D creates an offset copy of the selection.</t>
  </si>
  <si>
    <t>R6 Copy/paste</t>
  </si>
  <si>
    <t>EX-020</t>
  </si>
  <si>
    <t>Copy/paste</t>
  </si>
  <si>
    <t>Copy and paste an element</t>
  </si>
  <si>
    <t>1. Press Ctrl+C.
2. Press Ctrl+V.</t>
  </si>
  <si>
    <t>A second rectangle with the same size appears. Original is unchanged.</t>
  </si>
  <si>
    <t>Copy/paste creates a copy of the element.</t>
  </si>
  <si>
    <t>Keyboard shortcuts and deletion</t>
  </si>
  <si>
    <t>EX-021</t>
  </si>
  <si>
    <t>Shortcuts while typing</t>
  </si>
  <si>
    <t>Shortcuts do not fire while typing text (edge case)</t>
  </si>
  <si>
    <t>Text: rdoalpt</t>
  </si>
  <si>
    <t>1. Press T and click on canvas.
2. Type 'rdoalpt'.
3. Press Escape.</t>
  </si>
  <si>
    <t>The text element contains exactly 'rdoalpt'. No shapes were created and the tool did not change while typing.</t>
  </si>
  <si>
    <t>Typing shortcut letters into a text element must not switch tools.</t>
  </si>
  <si>
    <t>EX-022</t>
  </si>
  <si>
    <t>Delete</t>
  </si>
  <si>
    <t>Delete removes selected element</t>
  </si>
  <si>
    <t>1. Press Delete.</t>
  </si>
  <si>
    <t>The element is removed from the canvas and from the saved scene (marked deleted or absent).</t>
  </si>
  <si>
    <t>Delete key removes the selection.</t>
  </si>
  <si>
    <t>By priority</t>
  </si>
  <si>
    <t>P3</t>
  </si>
  <si>
    <t>By automation status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</si>
</sst>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4E79"/>
      <name val="Calibri"/>
    </font>
    <font>
      <i/>
      <sz val="10.0"/>
      <color rgb="FF555555"/>
      <name val="Calibri"/>
    </font>
    <font>
      <b/>
      <sz val="16.0"/>
      <color rgb="FF1F4E79"/>
      <name val="Calibri"/>
    </font>
    <font>
      <b/>
      <sz val="10.0"/>
      <color rgb="FFFFFFFF"/>
      <name val="Calibri"/>
    </font>
    <font>
      <sz val="10.0"/>
      <color theme="1"/>
      <name val="Calibri"/>
    </font>
    <font>
      <b/>
      <sz val="10.0"/>
      <color theme="1"/>
      <name val="Calibri"/>
    </font>
    <font>
      <b/>
      <sz val="12.0"/>
      <color rgb="FF1F4E79"/>
      <name val="Calibri"/>
    </font>
  </fonts>
  <fills count="4">
    <fill>
      <patternFill patternType="none"/>
    </fill>
    <fill>
      <patternFill patternType="lightGray"/>
    </fill>
    <fill>
      <patternFill patternType="solid">
        <fgColor rgb="FF1F4E79"/>
        <bgColor rgb="FF1F4E79"/>
      </patternFill>
    </fill>
    <fill>
      <patternFill patternType="solid">
        <fgColor rgb="FFDCE6F1"/>
        <bgColor rgb="FFDCE6F1"/>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readingOrder="0" shrinkToFit="0" vertical="bottom" wrapText="0"/>
    </xf>
    <xf borderId="1" fillId="2" fontId="4" numFmtId="0" xfId="0" applyAlignment="1" applyBorder="1" applyFill="1" applyFont="1">
      <alignment horizontal="center" shrinkToFit="0" vertical="bottom" wrapText="0"/>
    </xf>
    <xf borderId="1" fillId="2" fontId="4" numFmtId="0" xfId="0" applyAlignment="1" applyBorder="1" applyFill="1" applyFont="1">
      <alignment horizontal="center" shrinkToFit="0" vertical="center" wrapText="1"/>
    </xf>
    <xf borderId="1" fillId="0" fontId="5" numFmtId="0" xfId="0" applyAlignment="1" applyBorder="1" applyFont="1">
      <alignment shrinkToFit="0" vertical="bottom" wrapText="0"/>
    </xf>
    <xf borderId="1" fillId="0" fontId="5" numFmtId="0" xfId="0" applyAlignment="1" applyBorder="1" applyFont="1">
      <alignment horizontal="left" shrinkToFit="0" vertical="top" wrapText="1"/>
    </xf>
    <xf borderId="1" fillId="0" fontId="5" numFmtId="0" xfId="0" applyAlignment="1" applyBorder="1" applyFont="1">
      <alignment horizontal="center" shrinkToFit="0" vertical="top" wrapText="1"/>
    </xf>
    <xf borderId="1" fillId="0" fontId="5" numFmtId="0" xfId="0" applyAlignment="1" applyBorder="1" applyFont="1">
      <alignment horizontal="center" readingOrder="0" shrinkToFit="0" vertical="top" wrapText="1"/>
    </xf>
    <xf borderId="1" fillId="3" fontId="5" numFmtId="0" xfId="0" applyAlignment="1" applyBorder="1" applyFill="1" applyFont="1">
      <alignment horizontal="left" shrinkToFit="0" vertical="top" wrapText="1"/>
    </xf>
    <xf borderId="1" fillId="3" fontId="5" numFmtId="0" xfId="0" applyAlignment="1" applyBorder="1" applyFill="1" applyFont="1">
      <alignment horizontal="center" shrinkToFit="0" vertical="top" wrapText="1"/>
    </xf>
    <xf borderId="1" fillId="3" fontId="5" numFmtId="0" xfId="0" applyAlignment="1" applyBorder="1" applyFill="1" applyFont="1">
      <alignment horizontal="center" readingOrder="0" shrinkToFit="0" vertical="top" wrapText="1"/>
    </xf>
    <xf borderId="1" fillId="0" fontId="5" numFmtId="0" xfId="0" applyAlignment="1" applyBorder="1" applyFont="1">
      <alignment horizontal="center" shrinkToFit="0" vertical="bottom" wrapText="0"/>
    </xf>
    <xf borderId="1" fillId="3" fontId="5" numFmtId="0" xfId="0" applyAlignment="1" applyBorder="1" applyFill="1" applyFont="1">
      <alignment horizontal="left" readingOrder="0" shrinkToFit="0" vertical="top" wrapText="1"/>
    </xf>
    <xf borderId="1" fillId="0" fontId="5" numFmtId="9" xfId="0" applyAlignment="1" applyBorder="1" applyFont="1" applyNumberFormat="1">
      <alignment horizontal="center" shrinkToFit="0" vertical="bottom" wrapText="0"/>
    </xf>
    <xf borderId="1" fillId="0" fontId="6" numFmtId="0" xfId="0" applyAlignment="1" applyBorder="1" applyFont="1">
      <alignment shrinkToFit="0" vertical="bottom" wrapText="0"/>
    </xf>
    <xf borderId="1" fillId="0" fontId="6" numFmtId="0" xfId="0" applyAlignment="1" applyBorder="1" applyFont="1">
      <alignment horizontal="center" shrinkToFit="0" vertical="bottom" wrapText="0"/>
    </xf>
    <xf borderId="1" fillId="0" fontId="6" numFmtId="9" xfId="0" applyAlignment="1" applyBorder="1" applyFont="1" applyNumberFormat="1">
      <alignment horizontal="center" shrinkToFit="0" vertical="bottom" wrapText="0"/>
    </xf>
    <xf borderId="0" fillId="0" fontId="7" numFmtId="0" xfId="0" applyAlignment="1" applyFont="1">
      <alignment shrinkToFit="0" vertical="bottom" wrapText="0"/>
    </xf>
    <xf borderId="0" fillId="0" fontId="5" numFmtId="0" xfId="0" applyAlignment="1" applyFont="1">
      <alignment shrinkToFit="0" vertical="bottom" wrapText="0"/>
    </xf>
    <xf borderId="0" fillId="0" fontId="5" numFmtId="0" xfId="0" applyAlignment="1" applyFont="1">
      <alignment readingOrder="0" shrinkToFit="0" vertical="bottom" wrapText="0"/>
    </xf>
  </cellXfs>
  <cellStyles count="1">
    <cellStyle xfId="0" name="Normal" builtinId="0"/>
  </cellStyles>
  <dxfs count="5">
    <dxf>
      <font/>
      <fill>
        <patternFill patternType="solid">
          <fgColor rgb="FFF4B183"/>
          <bgColor rgb="FFF4B183"/>
        </patternFill>
      </fill>
      <border/>
    </dxf>
    <dxf>
      <font/>
      <fill>
        <patternFill patternType="solid">
          <fgColor rgb="FFFFE699"/>
          <bgColor rgb="FFFFE699"/>
        </patternFill>
      </fill>
      <border/>
    </dxf>
    <dxf>
      <font/>
      <fill>
        <patternFill patternType="solid">
          <fgColor rgb="FFC6E0B4"/>
          <bgColor rgb="FFC6E0B4"/>
        </patternFill>
      </fill>
      <border/>
    </dxf>
    <dxf>
      <font/>
      <fill>
        <patternFill patternType="solid">
          <fgColor rgb="FFF8CBAD"/>
          <bgColor rgb="FFF8CBAD"/>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4.0" topLeftCell="C5" activePane="bottomRight" state="frozen"/>
      <selection activeCell="C1" sqref="C1" pane="topRight"/>
      <selection activeCell="A5" sqref="A5" pane="bottomLeft"/>
      <selection activeCell="C5" sqref="C5" pane="bottomRight"/>
    </sheetView>
  </sheetViews>
  <sheetFormatPr customHeight="1" defaultColWidth="14.43" defaultRowHeight="15.0"/>
  <cols>
    <col customWidth="1" min="1" max="1" width="19.29"/>
    <col customWidth="1" min="2" max="2" width="10.0"/>
    <col customWidth="1" min="3" max="3" width="22.0"/>
    <col customWidth="1" min="4" max="4" width="32.57"/>
    <col customWidth="1" min="5" max="5" width="12.29"/>
    <col customWidth="1" min="6" max="6" width="30.0"/>
    <col customWidth="1" min="7" max="7" width="22.0"/>
    <col customWidth="1" min="8" max="8" width="48.0"/>
    <col customWidth="1" min="9" max="9" width="48.86"/>
    <col customWidth="1" min="10" max="10" width="10.43"/>
    <col customWidth="1" min="11" max="11" width="11.0"/>
    <col customWidth="1" min="12" max="12" width="42.71"/>
    <col customWidth="1" min="13" max="14" width="16.0"/>
    <col customWidth="1" min="15" max="25" width="8.71"/>
  </cols>
  <sheetData>
    <row r="1">
      <c r="A1" s="3" t="s">
        <v>1</v>
      </c>
    </row>
    <row r="2">
      <c r="A2" s="2" t="s">
        <v>4</v>
      </c>
    </row>
    <row r="4" ht="27.75" customHeight="1">
      <c r="A4" s="5" t="s">
        <v>3</v>
      </c>
      <c r="B4" s="5" t="s">
        <v>12</v>
      </c>
      <c r="C4" s="5" t="s">
        <v>14</v>
      </c>
      <c r="D4" s="5" t="s">
        <v>15</v>
      </c>
      <c r="E4" s="5" t="s">
        <v>16</v>
      </c>
      <c r="F4" s="5" t="s">
        <v>17</v>
      </c>
      <c r="G4" s="5" t="s">
        <v>18</v>
      </c>
      <c r="H4" s="5" t="s">
        <v>19</v>
      </c>
      <c r="I4" s="5" t="s">
        <v>20</v>
      </c>
      <c r="J4" s="5" t="s">
        <v>21</v>
      </c>
      <c r="K4" s="5" t="s">
        <v>22</v>
      </c>
      <c r="L4" s="5" t="s">
        <v>23</v>
      </c>
      <c r="M4" s="5" t="s">
        <v>24</v>
      </c>
      <c r="N4" s="5" t="s">
        <v>25</v>
      </c>
    </row>
    <row r="5">
      <c r="A5" s="7" t="s">
        <v>13</v>
      </c>
      <c r="B5" s="8" t="s">
        <v>26</v>
      </c>
      <c r="C5" s="7" t="s">
        <v>27</v>
      </c>
      <c r="D5" s="7" t="s">
        <v>28</v>
      </c>
      <c r="E5" s="8" t="s">
        <v>29</v>
      </c>
      <c r="F5" s="7" t="s">
        <v>30</v>
      </c>
      <c r="G5" s="7" t="s">
        <v>31</v>
      </c>
      <c r="H5" s="7" t="s">
        <v>32</v>
      </c>
      <c r="I5" s="7" t="s">
        <v>33</v>
      </c>
      <c r="J5" s="8" t="s">
        <v>34</v>
      </c>
      <c r="K5" s="9" t="s">
        <v>7</v>
      </c>
      <c r="L5" s="7" t="s">
        <v>35</v>
      </c>
      <c r="M5" s="8" t="s">
        <v>36</v>
      </c>
      <c r="N5" s="8" t="s">
        <v>37</v>
      </c>
    </row>
    <row r="6">
      <c r="A6" s="10" t="s">
        <v>13</v>
      </c>
      <c r="B6" s="11" t="s">
        <v>38</v>
      </c>
      <c r="C6" s="10" t="s">
        <v>39</v>
      </c>
      <c r="D6" s="10" t="s">
        <v>40</v>
      </c>
      <c r="E6" s="11" t="s">
        <v>29</v>
      </c>
      <c r="F6" s="10" t="s">
        <v>30</v>
      </c>
      <c r="G6" s="10" t="s">
        <v>41</v>
      </c>
      <c r="H6" s="10" t="s">
        <v>42</v>
      </c>
      <c r="I6" s="10" t="s">
        <v>43</v>
      </c>
      <c r="J6" s="11" t="s">
        <v>34</v>
      </c>
      <c r="K6" s="12" t="s">
        <v>7</v>
      </c>
      <c r="L6" s="10" t="s">
        <v>44</v>
      </c>
      <c r="M6" s="11" t="s">
        <v>45</v>
      </c>
      <c r="N6" s="11" t="s">
        <v>37</v>
      </c>
    </row>
    <row r="7">
      <c r="A7" s="7" t="s">
        <v>13</v>
      </c>
      <c r="B7" s="8" t="s">
        <v>46</v>
      </c>
      <c r="C7" s="7" t="s">
        <v>47</v>
      </c>
      <c r="D7" s="7" t="s">
        <v>48</v>
      </c>
      <c r="E7" s="8" t="s">
        <v>29</v>
      </c>
      <c r="F7" s="7" t="s">
        <v>30</v>
      </c>
      <c r="G7" s="7" t="s">
        <v>49</v>
      </c>
      <c r="H7" s="7" t="s">
        <v>50</v>
      </c>
      <c r="I7" s="7" t="s">
        <v>51</v>
      </c>
      <c r="J7" s="8" t="s">
        <v>52</v>
      </c>
      <c r="K7" s="9" t="s">
        <v>7</v>
      </c>
      <c r="L7" s="7" t="s">
        <v>53</v>
      </c>
      <c r="M7" s="8" t="s">
        <v>54</v>
      </c>
      <c r="N7" s="8" t="s">
        <v>37</v>
      </c>
    </row>
    <row r="8">
      <c r="A8" s="10" t="s">
        <v>13</v>
      </c>
      <c r="B8" s="11" t="s">
        <v>55</v>
      </c>
      <c r="C8" s="10" t="s">
        <v>56</v>
      </c>
      <c r="D8" s="10" t="s">
        <v>57</v>
      </c>
      <c r="E8" s="11" t="s">
        <v>58</v>
      </c>
      <c r="F8" s="10" t="s">
        <v>30</v>
      </c>
      <c r="G8" s="10" t="s">
        <v>59</v>
      </c>
      <c r="H8" s="10" t="s">
        <v>60</v>
      </c>
      <c r="I8" s="10" t="s">
        <v>61</v>
      </c>
      <c r="J8" s="11" t="s">
        <v>52</v>
      </c>
      <c r="K8" s="12" t="s">
        <v>7</v>
      </c>
      <c r="L8" s="14" t="s">
        <v>62</v>
      </c>
      <c r="M8" s="11" t="s">
        <v>36</v>
      </c>
      <c r="N8" s="12" t="s">
        <v>63</v>
      </c>
    </row>
    <row r="9">
      <c r="A9" s="7" t="s">
        <v>64</v>
      </c>
      <c r="B9" s="8" t="s">
        <v>65</v>
      </c>
      <c r="C9" s="7" t="s">
        <v>66</v>
      </c>
      <c r="D9" s="7" t="s">
        <v>67</v>
      </c>
      <c r="E9" s="8" t="s">
        <v>29</v>
      </c>
      <c r="F9" s="7" t="s">
        <v>68</v>
      </c>
      <c r="G9" s="7" t="s">
        <v>69</v>
      </c>
      <c r="H9" s="7" t="s">
        <v>70</v>
      </c>
      <c r="I9" s="7" t="s">
        <v>71</v>
      </c>
      <c r="J9" s="8" t="s">
        <v>34</v>
      </c>
      <c r="K9" s="9" t="s">
        <v>7</v>
      </c>
      <c r="L9" s="7" t="s">
        <v>72</v>
      </c>
      <c r="M9" s="8" t="s">
        <v>73</v>
      </c>
      <c r="N9" s="8" t="s">
        <v>37</v>
      </c>
    </row>
    <row r="10">
      <c r="A10" s="10" t="s">
        <v>64</v>
      </c>
      <c r="B10" s="11" t="s">
        <v>74</v>
      </c>
      <c r="C10" s="10" t="s">
        <v>75</v>
      </c>
      <c r="D10" s="10" t="s">
        <v>76</v>
      </c>
      <c r="E10" s="11" t="s">
        <v>29</v>
      </c>
      <c r="F10" s="10" t="s">
        <v>77</v>
      </c>
      <c r="G10" s="10" t="s">
        <v>78</v>
      </c>
      <c r="H10" s="14" t="s">
        <v>79</v>
      </c>
      <c r="I10" s="10" t="s">
        <v>80</v>
      </c>
      <c r="J10" s="11" t="s">
        <v>34</v>
      </c>
      <c r="K10" s="12" t="s">
        <v>7</v>
      </c>
      <c r="L10" s="10" t="s">
        <v>81</v>
      </c>
      <c r="M10" s="11" t="s">
        <v>73</v>
      </c>
      <c r="N10" s="11" t="s">
        <v>37</v>
      </c>
    </row>
    <row r="11">
      <c r="A11" s="7" t="s">
        <v>64</v>
      </c>
      <c r="B11" s="8" t="s">
        <v>82</v>
      </c>
      <c r="C11" s="7" t="s">
        <v>83</v>
      </c>
      <c r="D11" s="7" t="s">
        <v>84</v>
      </c>
      <c r="E11" s="8" t="s">
        <v>29</v>
      </c>
      <c r="F11" s="7" t="s">
        <v>85</v>
      </c>
      <c r="G11" s="7" t="s">
        <v>86</v>
      </c>
      <c r="H11" s="7" t="s">
        <v>87</v>
      </c>
      <c r="I11" s="7" t="s">
        <v>88</v>
      </c>
      <c r="J11" s="8" t="s">
        <v>52</v>
      </c>
      <c r="K11" s="9" t="s">
        <v>7</v>
      </c>
      <c r="L11" s="7" t="s">
        <v>89</v>
      </c>
      <c r="M11" s="8" t="s">
        <v>73</v>
      </c>
      <c r="N11" s="8" t="s">
        <v>37</v>
      </c>
    </row>
    <row r="12">
      <c r="A12" s="10" t="s">
        <v>90</v>
      </c>
      <c r="B12" s="11" t="s">
        <v>91</v>
      </c>
      <c r="C12" s="10" t="s">
        <v>92</v>
      </c>
      <c r="D12" s="10" t="s">
        <v>93</v>
      </c>
      <c r="E12" s="11" t="s">
        <v>29</v>
      </c>
      <c r="F12" s="10" t="s">
        <v>94</v>
      </c>
      <c r="G12" s="10" t="s">
        <v>95</v>
      </c>
      <c r="H12" s="10" t="s">
        <v>96</v>
      </c>
      <c r="I12" s="10" t="s">
        <v>97</v>
      </c>
      <c r="J12" s="11" t="s">
        <v>34</v>
      </c>
      <c r="K12" s="12" t="s">
        <v>7</v>
      </c>
      <c r="L12" s="10" t="s">
        <v>98</v>
      </c>
      <c r="M12" s="11" t="s">
        <v>36</v>
      </c>
      <c r="N12" s="11" t="s">
        <v>37</v>
      </c>
    </row>
    <row r="13">
      <c r="A13" s="7" t="s">
        <v>90</v>
      </c>
      <c r="B13" s="8" t="s">
        <v>99</v>
      </c>
      <c r="C13" s="7" t="s">
        <v>100</v>
      </c>
      <c r="D13" s="7" t="s">
        <v>101</v>
      </c>
      <c r="E13" s="8" t="s">
        <v>29</v>
      </c>
      <c r="F13" s="7" t="s">
        <v>102</v>
      </c>
      <c r="G13" s="7" t="s">
        <v>103</v>
      </c>
      <c r="H13" s="7" t="s">
        <v>104</v>
      </c>
      <c r="I13" s="7" t="s">
        <v>105</v>
      </c>
      <c r="J13" s="8" t="s">
        <v>34</v>
      </c>
      <c r="K13" s="9" t="s">
        <v>7</v>
      </c>
      <c r="L13" s="7" t="s">
        <v>106</v>
      </c>
      <c r="M13" s="8" t="s">
        <v>36</v>
      </c>
      <c r="N13" s="8" t="s">
        <v>37</v>
      </c>
    </row>
    <row r="14">
      <c r="A14" s="10" t="s">
        <v>90</v>
      </c>
      <c r="B14" s="11" t="s">
        <v>107</v>
      </c>
      <c r="C14" s="10" t="s">
        <v>108</v>
      </c>
      <c r="D14" s="10" t="s">
        <v>109</v>
      </c>
      <c r="E14" s="11" t="s">
        <v>110</v>
      </c>
      <c r="F14" s="10" t="s">
        <v>102</v>
      </c>
      <c r="G14" s="10" t="s">
        <v>86</v>
      </c>
      <c r="H14" s="14" t="s">
        <v>111</v>
      </c>
      <c r="I14" s="10" t="s">
        <v>112</v>
      </c>
      <c r="J14" s="11" t="s">
        <v>52</v>
      </c>
      <c r="K14" s="12" t="s">
        <v>7</v>
      </c>
      <c r="L14" s="10" t="s">
        <v>113</v>
      </c>
      <c r="M14" s="11" t="s">
        <v>36</v>
      </c>
      <c r="N14" s="11" t="s">
        <v>37</v>
      </c>
    </row>
    <row r="15">
      <c r="A15" s="7" t="s">
        <v>114</v>
      </c>
      <c r="B15" s="8" t="s">
        <v>115</v>
      </c>
      <c r="C15" s="7" t="s">
        <v>116</v>
      </c>
      <c r="D15" s="7" t="s">
        <v>117</v>
      </c>
      <c r="E15" s="8" t="s">
        <v>29</v>
      </c>
      <c r="F15" s="7" t="s">
        <v>30</v>
      </c>
      <c r="G15" s="7" t="s">
        <v>31</v>
      </c>
      <c r="H15" s="7" t="s">
        <v>118</v>
      </c>
      <c r="I15" s="7" t="s">
        <v>119</v>
      </c>
      <c r="J15" s="8" t="s">
        <v>34</v>
      </c>
      <c r="K15" s="9" t="s">
        <v>7</v>
      </c>
      <c r="L15" s="7" t="s">
        <v>120</v>
      </c>
      <c r="M15" s="8" t="s">
        <v>121</v>
      </c>
      <c r="N15" s="8" t="s">
        <v>37</v>
      </c>
    </row>
    <row r="16">
      <c r="A16" s="10" t="s">
        <v>114</v>
      </c>
      <c r="B16" s="11" t="s">
        <v>122</v>
      </c>
      <c r="C16" s="10" t="s">
        <v>123</v>
      </c>
      <c r="D16" s="10" t="s">
        <v>124</v>
      </c>
      <c r="E16" s="11" t="s">
        <v>29</v>
      </c>
      <c r="F16" s="10" t="s">
        <v>30</v>
      </c>
      <c r="G16" s="10" t="s">
        <v>31</v>
      </c>
      <c r="H16" s="10" t="s">
        <v>125</v>
      </c>
      <c r="I16" s="10" t="s">
        <v>126</v>
      </c>
      <c r="J16" s="11" t="s">
        <v>34</v>
      </c>
      <c r="K16" s="12" t="s">
        <v>7</v>
      </c>
      <c r="L16" s="10" t="s">
        <v>127</v>
      </c>
      <c r="M16" s="11" t="s">
        <v>121</v>
      </c>
      <c r="N16" s="11" t="s">
        <v>37</v>
      </c>
    </row>
    <row r="17">
      <c r="A17" s="7" t="s">
        <v>114</v>
      </c>
      <c r="B17" s="8" t="s">
        <v>128</v>
      </c>
      <c r="C17" s="7" t="s">
        <v>129</v>
      </c>
      <c r="D17" s="7" t="s">
        <v>130</v>
      </c>
      <c r="E17" s="8" t="s">
        <v>58</v>
      </c>
      <c r="F17" s="7" t="s">
        <v>131</v>
      </c>
      <c r="G17" s="7" t="s">
        <v>78</v>
      </c>
      <c r="H17" s="7" t="s">
        <v>132</v>
      </c>
      <c r="I17" s="7" t="s">
        <v>133</v>
      </c>
      <c r="J17" s="8" t="s">
        <v>34</v>
      </c>
      <c r="K17" s="9" t="s">
        <v>7</v>
      </c>
      <c r="L17" s="7" t="s">
        <v>134</v>
      </c>
      <c r="M17" s="8" t="s">
        <v>121</v>
      </c>
      <c r="N17" s="9" t="s">
        <v>63</v>
      </c>
    </row>
    <row r="18">
      <c r="A18" s="10" t="s">
        <v>114</v>
      </c>
      <c r="B18" s="11" t="s">
        <v>135</v>
      </c>
      <c r="C18" s="10" t="s">
        <v>136</v>
      </c>
      <c r="D18" s="10" t="s">
        <v>137</v>
      </c>
      <c r="E18" s="11" t="s">
        <v>58</v>
      </c>
      <c r="F18" s="10" t="s">
        <v>30</v>
      </c>
      <c r="G18" s="10" t="s">
        <v>31</v>
      </c>
      <c r="H18" s="10" t="s">
        <v>138</v>
      </c>
      <c r="I18" s="10" t="s">
        <v>139</v>
      </c>
      <c r="J18" s="11" t="s">
        <v>52</v>
      </c>
      <c r="K18" s="12" t="s">
        <v>7</v>
      </c>
      <c r="L18" s="10" t="s">
        <v>140</v>
      </c>
      <c r="M18" s="11" t="s">
        <v>121</v>
      </c>
      <c r="N18" s="11" t="s">
        <v>37</v>
      </c>
    </row>
    <row r="19">
      <c r="A19" s="7" t="s">
        <v>141</v>
      </c>
      <c r="B19" s="8" t="s">
        <v>142</v>
      </c>
      <c r="C19" s="7" t="s">
        <v>143</v>
      </c>
      <c r="D19" s="7" t="s">
        <v>144</v>
      </c>
      <c r="E19" s="8" t="s">
        <v>29</v>
      </c>
      <c r="F19" s="7" t="s">
        <v>145</v>
      </c>
      <c r="G19" s="7" t="s">
        <v>146</v>
      </c>
      <c r="H19" s="7" t="s">
        <v>147</v>
      </c>
      <c r="I19" s="7" t="s">
        <v>148</v>
      </c>
      <c r="J19" s="8" t="s">
        <v>34</v>
      </c>
      <c r="K19" s="9" t="s">
        <v>7</v>
      </c>
      <c r="L19" s="7" t="s">
        <v>149</v>
      </c>
      <c r="M19" s="8" t="s">
        <v>150</v>
      </c>
      <c r="N19" s="8" t="s">
        <v>37</v>
      </c>
    </row>
    <row r="20">
      <c r="A20" s="10" t="s">
        <v>141</v>
      </c>
      <c r="B20" s="11" t="s">
        <v>151</v>
      </c>
      <c r="C20" s="10" t="s">
        <v>152</v>
      </c>
      <c r="D20" s="10" t="s">
        <v>153</v>
      </c>
      <c r="E20" s="11" t="s">
        <v>58</v>
      </c>
      <c r="F20" s="10" t="s">
        <v>30</v>
      </c>
      <c r="G20" s="10" t="s">
        <v>31</v>
      </c>
      <c r="H20" s="10" t="s">
        <v>154</v>
      </c>
      <c r="I20" s="14" t="s">
        <v>155</v>
      </c>
      <c r="J20" s="11" t="s">
        <v>52</v>
      </c>
      <c r="K20" s="12" t="s">
        <v>7</v>
      </c>
      <c r="L20" s="14" t="s">
        <v>156</v>
      </c>
      <c r="M20" s="11" t="s">
        <v>150</v>
      </c>
      <c r="N20" s="12" t="s">
        <v>63</v>
      </c>
    </row>
    <row r="21" ht="15.75" customHeight="1">
      <c r="A21" s="7" t="s">
        <v>157</v>
      </c>
      <c r="B21" s="8" t="s">
        <v>158</v>
      </c>
      <c r="C21" s="7" t="s">
        <v>159</v>
      </c>
      <c r="D21" s="7" t="s">
        <v>160</v>
      </c>
      <c r="E21" s="8" t="s">
        <v>29</v>
      </c>
      <c r="F21" s="7" t="s">
        <v>161</v>
      </c>
      <c r="G21" s="7" t="s">
        <v>162</v>
      </c>
      <c r="H21" s="7" t="s">
        <v>163</v>
      </c>
      <c r="I21" s="7" t="s">
        <v>164</v>
      </c>
      <c r="J21" s="8" t="s">
        <v>34</v>
      </c>
      <c r="K21" s="9" t="s">
        <v>7</v>
      </c>
      <c r="L21" s="7" t="s">
        <v>165</v>
      </c>
      <c r="M21" s="8" t="s">
        <v>166</v>
      </c>
      <c r="N21" s="8" t="s">
        <v>37</v>
      </c>
    </row>
    <row r="22" ht="15.75" customHeight="1">
      <c r="A22" s="10" t="s">
        <v>157</v>
      </c>
      <c r="B22" s="11" t="s">
        <v>167</v>
      </c>
      <c r="C22" s="10" t="s">
        <v>168</v>
      </c>
      <c r="D22" s="10" t="s">
        <v>169</v>
      </c>
      <c r="E22" s="11" t="s">
        <v>110</v>
      </c>
      <c r="F22" s="10" t="s">
        <v>170</v>
      </c>
      <c r="G22" s="10" t="s">
        <v>171</v>
      </c>
      <c r="H22" s="10" t="s">
        <v>172</v>
      </c>
      <c r="I22" s="10" t="s">
        <v>173</v>
      </c>
      <c r="J22" s="11" t="s">
        <v>52</v>
      </c>
      <c r="K22" s="12" t="s">
        <v>7</v>
      </c>
      <c r="L22" s="10" t="s">
        <v>174</v>
      </c>
      <c r="M22" s="11" t="s">
        <v>166</v>
      </c>
      <c r="N22" s="11" t="s">
        <v>175</v>
      </c>
    </row>
    <row r="23" ht="15.75" customHeight="1">
      <c r="A23" s="7" t="s">
        <v>176</v>
      </c>
      <c r="B23" s="8" t="s">
        <v>177</v>
      </c>
      <c r="C23" s="7" t="s">
        <v>178</v>
      </c>
      <c r="D23" s="7" t="s">
        <v>179</v>
      </c>
      <c r="E23" s="8" t="s">
        <v>29</v>
      </c>
      <c r="F23" s="7" t="s">
        <v>102</v>
      </c>
      <c r="G23" s="7" t="s">
        <v>86</v>
      </c>
      <c r="H23" s="7" t="s">
        <v>180</v>
      </c>
      <c r="I23" s="7" t="s">
        <v>181</v>
      </c>
      <c r="J23" s="8" t="s">
        <v>52</v>
      </c>
      <c r="K23" s="9" t="s">
        <v>7</v>
      </c>
      <c r="L23" s="7" t="s">
        <v>182</v>
      </c>
      <c r="M23" s="8" t="s">
        <v>183</v>
      </c>
      <c r="N23" s="8" t="s">
        <v>37</v>
      </c>
    </row>
    <row r="24" ht="15.75" customHeight="1">
      <c r="A24" s="10" t="s">
        <v>176</v>
      </c>
      <c r="B24" s="11" t="s">
        <v>184</v>
      </c>
      <c r="C24" s="10" t="s">
        <v>185</v>
      </c>
      <c r="D24" s="10" t="s">
        <v>186</v>
      </c>
      <c r="E24" s="11" t="s">
        <v>29</v>
      </c>
      <c r="F24" s="10" t="s">
        <v>102</v>
      </c>
      <c r="G24" s="10" t="s">
        <v>86</v>
      </c>
      <c r="H24" s="10" t="s">
        <v>187</v>
      </c>
      <c r="I24" s="10" t="s">
        <v>188</v>
      </c>
      <c r="J24" s="11" t="s">
        <v>52</v>
      </c>
      <c r="K24" s="12" t="s">
        <v>7</v>
      </c>
      <c r="L24" s="10" t="s">
        <v>189</v>
      </c>
      <c r="M24" s="11" t="s">
        <v>183</v>
      </c>
      <c r="N24" s="11" t="s">
        <v>37</v>
      </c>
    </row>
    <row r="25" ht="15.75" customHeight="1">
      <c r="A25" s="7" t="s">
        <v>190</v>
      </c>
      <c r="B25" s="8" t="s">
        <v>191</v>
      </c>
      <c r="C25" s="7" t="s">
        <v>192</v>
      </c>
      <c r="D25" s="7" t="s">
        <v>193</v>
      </c>
      <c r="E25" s="8" t="s">
        <v>58</v>
      </c>
      <c r="F25" s="7" t="s">
        <v>30</v>
      </c>
      <c r="G25" s="7" t="s">
        <v>194</v>
      </c>
      <c r="H25" s="7" t="s">
        <v>195</v>
      </c>
      <c r="I25" s="7" t="s">
        <v>196</v>
      </c>
      <c r="J25" s="8" t="s">
        <v>52</v>
      </c>
      <c r="K25" s="9" t="s">
        <v>7</v>
      </c>
      <c r="L25" s="7" t="s">
        <v>197</v>
      </c>
      <c r="M25" s="8" t="s">
        <v>45</v>
      </c>
      <c r="N25" s="8" t="s">
        <v>37</v>
      </c>
    </row>
    <row r="26" ht="15.75" customHeight="1">
      <c r="A26" s="10" t="s">
        <v>190</v>
      </c>
      <c r="B26" s="11" t="s">
        <v>198</v>
      </c>
      <c r="C26" s="10" t="s">
        <v>199</v>
      </c>
      <c r="D26" s="10" t="s">
        <v>200</v>
      </c>
      <c r="E26" s="11" t="s">
        <v>29</v>
      </c>
      <c r="F26" s="10" t="s">
        <v>85</v>
      </c>
      <c r="G26" s="10" t="s">
        <v>86</v>
      </c>
      <c r="H26" s="10" t="s">
        <v>201</v>
      </c>
      <c r="I26" s="10" t="s">
        <v>202</v>
      </c>
      <c r="J26" s="11" t="s">
        <v>52</v>
      </c>
      <c r="K26" s="12" t="s">
        <v>7</v>
      </c>
      <c r="L26" s="10" t="s">
        <v>203</v>
      </c>
      <c r="M26" s="11" t="s">
        <v>36</v>
      </c>
      <c r="N26" s="11" t="s">
        <v>37</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N$26"/>
  <conditionalFormatting sqref="J5:J26">
    <cfRule type="cellIs" dxfId="0" priority="1" operator="equal">
      <formula>"P1"</formula>
    </cfRule>
  </conditionalFormatting>
  <conditionalFormatting sqref="J5:J26">
    <cfRule type="cellIs" dxfId="1" priority="2" operator="equal">
      <formula>"P2"</formula>
    </cfRule>
  </conditionalFormatting>
  <conditionalFormatting sqref="J5:J26">
    <cfRule type="cellIs" dxfId="2" priority="3" operator="equal">
      <formula>"P3"</formula>
    </cfRule>
  </conditionalFormatting>
  <conditionalFormatting sqref="K5:K26">
    <cfRule type="cellIs" dxfId="2" priority="4" operator="equal">
      <formula>"Pass"</formula>
    </cfRule>
  </conditionalFormatting>
  <conditionalFormatting sqref="K5:K26">
    <cfRule type="cellIs" dxfId="3" priority="5" operator="equal">
      <formula>"Fail"</formula>
    </cfRule>
  </conditionalFormatting>
  <conditionalFormatting sqref="K5:K26">
    <cfRule type="cellIs" dxfId="1" priority="6" operator="equal">
      <formula>"Blocked"</formula>
    </cfRule>
  </conditionalFormatting>
  <conditionalFormatting sqref="K5:K26">
    <cfRule type="cellIs" dxfId="4" priority="7" operator="equal">
      <formula>"Not Run"</formula>
    </cfRule>
  </conditionalFormatting>
  <dataValidations>
    <dataValidation type="list" allowBlank="1" sqref="J5:J26">
      <formula1>"P1,P2,P3"</formula1>
    </dataValidation>
    <dataValidation type="list" allowBlank="1" sqref="N5:N26">
      <formula1>"Automate,Manual,Automate + visual"</formula1>
    </dataValidation>
    <dataValidation type="list" allowBlank="1" sqref="E5:E26">
      <formula1>"Functional,UI,Negative"</formula1>
    </dataValidation>
    <dataValidation type="list" allowBlank="1" sqref="K5:K26">
      <formula1>"Not Run,Pass,Fail,Blocked,Skipped"</formula1>
    </dataValidation>
  </dataValidation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6.0"/>
    <col customWidth="1" min="2" max="8" width="12.0"/>
    <col customWidth="1" min="9" max="26" width="8.71"/>
  </cols>
  <sheetData>
    <row r="1">
      <c r="A1" s="1" t="s">
        <v>0</v>
      </c>
    </row>
    <row r="2">
      <c r="A2" s="2" t="s">
        <v>2</v>
      </c>
    </row>
    <row r="4">
      <c r="A4" s="4" t="s">
        <v>3</v>
      </c>
      <c r="B4" s="4" t="s">
        <v>5</v>
      </c>
      <c r="C4" s="4" t="s">
        <v>6</v>
      </c>
      <c r="D4" s="4" t="s">
        <v>7</v>
      </c>
      <c r="E4" s="4" t="s">
        <v>8</v>
      </c>
      <c r="F4" s="4" t="s">
        <v>9</v>
      </c>
      <c r="G4" s="4" t="s">
        <v>10</v>
      </c>
      <c r="H4" s="4" t="s">
        <v>11</v>
      </c>
    </row>
    <row r="5">
      <c r="A5" s="6" t="s">
        <v>13</v>
      </c>
      <c r="B5" s="13">
        <f>COUNTIF('Test Cases'!$A$5:$A$26,$A5)</f>
        <v>4</v>
      </c>
      <c r="C5" s="13">
        <f>COUNTIFS('Test Cases'!$A$5:$A$26,$A5,'Test Cases'!$K$5:$K$26,"Not Run")</f>
        <v>0</v>
      </c>
      <c r="D5" s="13">
        <f>COUNTIFS('Test Cases'!$A$5:$A$26,$A5,'Test Cases'!$K$5:$K$26,"Pass")</f>
        <v>4</v>
      </c>
      <c r="E5" s="13">
        <f>COUNTIFS('Test Cases'!$A$5:$A$26,$A5,'Test Cases'!$K$5:$K$26,"Fail")</f>
        <v>0</v>
      </c>
      <c r="F5" s="13">
        <f>COUNTIFS('Test Cases'!$A$5:$A$26,$A5,'Test Cases'!$K$5:$K$26,"Blocked")</f>
        <v>0</v>
      </c>
      <c r="G5" s="13">
        <f>COUNTIFS('Test Cases'!$A$5:$A$26,$A5,'Test Cases'!$K$5:$K$26,"Skipped")</f>
        <v>0</v>
      </c>
      <c r="H5" s="15">
        <f t="shared" ref="H5:H13" si="1">IF(B5=0,0,(B5-C5)/B5)</f>
        <v>1</v>
      </c>
    </row>
    <row r="6">
      <c r="A6" s="6" t="s">
        <v>64</v>
      </c>
      <c r="B6" s="13">
        <f>COUNTIF('Test Cases'!$A$5:$A$26,$A6)</f>
        <v>3</v>
      </c>
      <c r="C6" s="13">
        <f>COUNTIFS('Test Cases'!$A$5:$A$26,$A6,'Test Cases'!$K$5:$K$26,"Not Run")</f>
        <v>0</v>
      </c>
      <c r="D6" s="13">
        <f>COUNTIFS('Test Cases'!$A$5:$A$26,$A6,'Test Cases'!$K$5:$K$26,"Pass")</f>
        <v>3</v>
      </c>
      <c r="E6" s="13">
        <f>COUNTIFS('Test Cases'!$A$5:$A$26,$A6,'Test Cases'!$K$5:$K$26,"Fail")</f>
        <v>0</v>
      </c>
      <c r="F6" s="13">
        <f>COUNTIFS('Test Cases'!$A$5:$A$26,$A6,'Test Cases'!$K$5:$K$26,"Blocked")</f>
        <v>0</v>
      </c>
      <c r="G6" s="13">
        <f>COUNTIFS('Test Cases'!$A$5:$A$26,$A6,'Test Cases'!$K$5:$K$26,"Skipped")</f>
        <v>0</v>
      </c>
      <c r="H6" s="15">
        <f t="shared" si="1"/>
        <v>1</v>
      </c>
    </row>
    <row r="7">
      <c r="A7" s="6" t="s">
        <v>90</v>
      </c>
      <c r="B7" s="13">
        <f>COUNTIF('Test Cases'!$A$5:$A$26,$A7)</f>
        <v>3</v>
      </c>
      <c r="C7" s="13">
        <f>COUNTIFS('Test Cases'!$A$5:$A$26,$A7,'Test Cases'!$K$5:$K$26,"Not Run")</f>
        <v>0</v>
      </c>
      <c r="D7" s="13">
        <f>COUNTIFS('Test Cases'!$A$5:$A$26,$A7,'Test Cases'!$K$5:$K$26,"Pass")</f>
        <v>3</v>
      </c>
      <c r="E7" s="13">
        <f>COUNTIFS('Test Cases'!$A$5:$A$26,$A7,'Test Cases'!$K$5:$K$26,"Fail")</f>
        <v>0</v>
      </c>
      <c r="F7" s="13">
        <f>COUNTIFS('Test Cases'!$A$5:$A$26,$A7,'Test Cases'!$K$5:$K$26,"Blocked")</f>
        <v>0</v>
      </c>
      <c r="G7" s="13">
        <f>COUNTIFS('Test Cases'!$A$5:$A$26,$A7,'Test Cases'!$K$5:$K$26,"Skipped")</f>
        <v>0</v>
      </c>
      <c r="H7" s="15">
        <f t="shared" si="1"/>
        <v>1</v>
      </c>
    </row>
    <row r="8">
      <c r="A8" s="6" t="s">
        <v>114</v>
      </c>
      <c r="B8" s="13">
        <f>COUNTIF('Test Cases'!$A$5:$A$26,$A8)</f>
        <v>4</v>
      </c>
      <c r="C8" s="13">
        <f>COUNTIFS('Test Cases'!$A$5:$A$26,$A8,'Test Cases'!$K$5:$K$26,"Not Run")</f>
        <v>0</v>
      </c>
      <c r="D8" s="13">
        <f>COUNTIFS('Test Cases'!$A$5:$A$26,$A8,'Test Cases'!$K$5:$K$26,"Pass")</f>
        <v>4</v>
      </c>
      <c r="E8" s="13">
        <f>COUNTIFS('Test Cases'!$A$5:$A$26,$A8,'Test Cases'!$K$5:$K$26,"Fail")</f>
        <v>0</v>
      </c>
      <c r="F8" s="13">
        <f>COUNTIFS('Test Cases'!$A$5:$A$26,$A8,'Test Cases'!$K$5:$K$26,"Blocked")</f>
        <v>0</v>
      </c>
      <c r="G8" s="13">
        <f>COUNTIFS('Test Cases'!$A$5:$A$26,$A8,'Test Cases'!$K$5:$K$26,"Skipped")</f>
        <v>0</v>
      </c>
      <c r="H8" s="15">
        <f t="shared" si="1"/>
        <v>1</v>
      </c>
    </row>
    <row r="9">
      <c r="A9" s="6" t="s">
        <v>141</v>
      </c>
      <c r="B9" s="13">
        <f>COUNTIF('Test Cases'!$A$5:$A$26,$A9)</f>
        <v>2</v>
      </c>
      <c r="C9" s="13">
        <f>COUNTIFS('Test Cases'!$A$5:$A$26,$A9,'Test Cases'!$K$5:$K$26,"Not Run")</f>
        <v>0</v>
      </c>
      <c r="D9" s="13">
        <f>COUNTIFS('Test Cases'!$A$5:$A$26,$A9,'Test Cases'!$K$5:$K$26,"Pass")</f>
        <v>2</v>
      </c>
      <c r="E9" s="13">
        <f>COUNTIFS('Test Cases'!$A$5:$A$26,$A9,'Test Cases'!$K$5:$K$26,"Fail")</f>
        <v>0</v>
      </c>
      <c r="F9" s="13">
        <f>COUNTIFS('Test Cases'!$A$5:$A$26,$A9,'Test Cases'!$K$5:$K$26,"Blocked")</f>
        <v>0</v>
      </c>
      <c r="G9" s="13">
        <f>COUNTIFS('Test Cases'!$A$5:$A$26,$A9,'Test Cases'!$K$5:$K$26,"Skipped")</f>
        <v>0</v>
      </c>
      <c r="H9" s="15">
        <f t="shared" si="1"/>
        <v>1</v>
      </c>
    </row>
    <row r="10">
      <c r="A10" s="6" t="s">
        <v>157</v>
      </c>
      <c r="B10" s="13">
        <f>COUNTIF('Test Cases'!$A$5:$A$26,$A10)</f>
        <v>2</v>
      </c>
      <c r="C10" s="13">
        <f>COUNTIFS('Test Cases'!$A$5:$A$26,$A10,'Test Cases'!$K$5:$K$26,"Not Run")</f>
        <v>0</v>
      </c>
      <c r="D10" s="13">
        <f>COUNTIFS('Test Cases'!$A$5:$A$26,$A10,'Test Cases'!$K$5:$K$26,"Pass")</f>
        <v>2</v>
      </c>
      <c r="E10" s="13">
        <f>COUNTIFS('Test Cases'!$A$5:$A$26,$A10,'Test Cases'!$K$5:$K$26,"Fail")</f>
        <v>0</v>
      </c>
      <c r="F10" s="13">
        <f>COUNTIFS('Test Cases'!$A$5:$A$26,$A10,'Test Cases'!$K$5:$K$26,"Blocked")</f>
        <v>0</v>
      </c>
      <c r="G10" s="13">
        <f>COUNTIFS('Test Cases'!$A$5:$A$26,$A10,'Test Cases'!$K$5:$K$26,"Skipped")</f>
        <v>0</v>
      </c>
      <c r="H10" s="15">
        <f t="shared" si="1"/>
        <v>1</v>
      </c>
    </row>
    <row r="11">
      <c r="A11" s="6" t="s">
        <v>176</v>
      </c>
      <c r="B11" s="13">
        <f>COUNTIF('Test Cases'!$A$5:$A$26,$A11)</f>
        <v>2</v>
      </c>
      <c r="C11" s="13">
        <f>COUNTIFS('Test Cases'!$A$5:$A$26,$A11,'Test Cases'!$K$5:$K$26,"Not Run")</f>
        <v>0</v>
      </c>
      <c r="D11" s="13">
        <f>COUNTIFS('Test Cases'!$A$5:$A$26,$A11,'Test Cases'!$K$5:$K$26,"Pass")</f>
        <v>2</v>
      </c>
      <c r="E11" s="13">
        <f>COUNTIFS('Test Cases'!$A$5:$A$26,$A11,'Test Cases'!$K$5:$K$26,"Fail")</f>
        <v>0</v>
      </c>
      <c r="F11" s="13">
        <f>COUNTIFS('Test Cases'!$A$5:$A$26,$A11,'Test Cases'!$K$5:$K$26,"Blocked")</f>
        <v>0</v>
      </c>
      <c r="G11" s="13">
        <f>COUNTIFS('Test Cases'!$A$5:$A$26,$A11,'Test Cases'!$K$5:$K$26,"Skipped")</f>
        <v>0</v>
      </c>
      <c r="H11" s="15">
        <f t="shared" si="1"/>
        <v>1</v>
      </c>
    </row>
    <row r="12">
      <c r="A12" s="6" t="s">
        <v>190</v>
      </c>
      <c r="B12" s="13">
        <f>COUNTIF('Test Cases'!$A$5:$A$26,$A12)</f>
        <v>2</v>
      </c>
      <c r="C12" s="13">
        <f>COUNTIFS('Test Cases'!$A$5:$A$26,$A12,'Test Cases'!$K$5:$K$26,"Not Run")</f>
        <v>0</v>
      </c>
      <c r="D12" s="13">
        <f>COUNTIFS('Test Cases'!$A$5:$A$26,$A12,'Test Cases'!$K$5:$K$26,"Pass")</f>
        <v>2</v>
      </c>
      <c r="E12" s="13">
        <f>COUNTIFS('Test Cases'!$A$5:$A$26,$A12,'Test Cases'!$K$5:$K$26,"Fail")</f>
        <v>0</v>
      </c>
      <c r="F12" s="13">
        <f>COUNTIFS('Test Cases'!$A$5:$A$26,$A12,'Test Cases'!$K$5:$K$26,"Blocked")</f>
        <v>0</v>
      </c>
      <c r="G12" s="13">
        <f>COUNTIFS('Test Cases'!$A$5:$A$26,$A12,'Test Cases'!$K$5:$K$26,"Skipped")</f>
        <v>0</v>
      </c>
      <c r="H12" s="15">
        <f t="shared" si="1"/>
        <v>1</v>
      </c>
    </row>
    <row r="13">
      <c r="A13" s="16" t="s">
        <v>5</v>
      </c>
      <c r="B13" s="17">
        <f t="shared" ref="B13:G13" si="2">SUM(B5:B12)</f>
        <v>22</v>
      </c>
      <c r="C13" s="17">
        <f t="shared" si="2"/>
        <v>0</v>
      </c>
      <c r="D13" s="17">
        <f t="shared" si="2"/>
        <v>22</v>
      </c>
      <c r="E13" s="17">
        <f t="shared" si="2"/>
        <v>0</v>
      </c>
      <c r="F13" s="17">
        <f t="shared" si="2"/>
        <v>0</v>
      </c>
      <c r="G13" s="17">
        <f t="shared" si="2"/>
        <v>0</v>
      </c>
      <c r="H13" s="18">
        <f t="shared" si="1"/>
        <v>1</v>
      </c>
    </row>
    <row r="16">
      <c r="A16" s="19" t="s">
        <v>204</v>
      </c>
    </row>
    <row r="17">
      <c r="A17" s="4" t="s">
        <v>21</v>
      </c>
      <c r="B17" s="4" t="s">
        <v>5</v>
      </c>
      <c r="C17" s="4" t="s">
        <v>6</v>
      </c>
      <c r="D17" s="4" t="s">
        <v>7</v>
      </c>
      <c r="E17" s="4" t="s">
        <v>8</v>
      </c>
    </row>
    <row r="18">
      <c r="A18" s="6" t="s">
        <v>34</v>
      </c>
      <c r="B18" s="13">
        <f>COUNTIF('Test Cases'!$J$5:$J$26,$A18)</f>
        <v>11</v>
      </c>
      <c r="C18" s="13">
        <f>COUNTIFS('Test Cases'!$J$5:$J$26,$A18,'Test Cases'!$K$5:$K$26,"Not Run")</f>
        <v>0</v>
      </c>
      <c r="D18" s="13">
        <f>COUNTIFS('Test Cases'!$J$5:$J$26,$A18,'Test Cases'!$K$5:$K$26,"Pass")</f>
        <v>11</v>
      </c>
      <c r="E18" s="13">
        <f>COUNTIFS('Test Cases'!$J$5:$J$26,$A18,'Test Cases'!$K$5:$K$26,"Fail")</f>
        <v>0</v>
      </c>
    </row>
    <row r="19">
      <c r="A19" s="6" t="s">
        <v>52</v>
      </c>
      <c r="B19" s="13">
        <f>COUNTIF('Test Cases'!$J$5:$J$26,$A19)</f>
        <v>11</v>
      </c>
      <c r="C19" s="13">
        <f>COUNTIFS('Test Cases'!$J$5:$J$26,$A19,'Test Cases'!$K$5:$K$26,"Not Run")</f>
        <v>0</v>
      </c>
      <c r="D19" s="13">
        <f>COUNTIFS('Test Cases'!$J$5:$J$26,$A19,'Test Cases'!$K$5:$K$26,"Pass")</f>
        <v>11</v>
      </c>
      <c r="E19" s="13">
        <f>COUNTIFS('Test Cases'!$J$5:$J$26,$A19,'Test Cases'!$K$5:$K$26,"Fail")</f>
        <v>0</v>
      </c>
    </row>
    <row r="20">
      <c r="A20" s="6" t="s">
        <v>205</v>
      </c>
      <c r="B20" s="13">
        <f>COUNTIF('Test Cases'!$J$5:$J$26,$A20)</f>
        <v>0</v>
      </c>
      <c r="C20" s="13">
        <f>COUNTIFS('Test Cases'!$J$5:$J$26,$A20,'Test Cases'!$K$5:$K$26,"Not Run")</f>
        <v>0</v>
      </c>
      <c r="D20" s="13">
        <f>COUNTIFS('Test Cases'!$J$5:$J$26,$A20,'Test Cases'!$K$5:$K$26,"Pass")</f>
        <v>0</v>
      </c>
      <c r="E20" s="13">
        <f>COUNTIFS('Test Cases'!$J$5:$J$26,$A20,'Test Cases'!$K$5:$K$26,"Fail")</f>
        <v>0</v>
      </c>
    </row>
    <row r="21" ht="15.75" customHeight="1"/>
    <row r="22" ht="15.75" customHeight="1"/>
    <row r="23" ht="15.75" customHeight="1">
      <c r="A23" s="19" t="s">
        <v>206</v>
      </c>
    </row>
    <row r="24" ht="15.75" customHeight="1">
      <c r="A24" s="20" t="s">
        <v>37</v>
      </c>
      <c r="B24" s="20">
        <f>COUNTIF('Test Cases'!$N$5:$N$26,A24)</f>
        <v>18</v>
      </c>
    </row>
    <row r="25" ht="15.75" customHeight="1">
      <c r="A25" s="21" t="s">
        <v>63</v>
      </c>
      <c r="B25" s="20">
        <f>COUNTIF('Test Cases'!$N$5:$N$26,A25)</f>
        <v>3</v>
      </c>
    </row>
    <row r="26" ht="15.75" customHeight="1">
      <c r="A26" s="20" t="s">
        <v>175</v>
      </c>
      <c r="B26" s="20">
        <f>COUNTIF('Test Cases'!$N$5:$N$26,A26)</f>
        <v>1</v>
      </c>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